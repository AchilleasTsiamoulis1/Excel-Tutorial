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illeas\Desktop\24_Hour_Course\Excel-Tutorial-main\"/>
    </mc:Choice>
  </mc:AlternateContent>
  <xr:revisionPtr revIDLastSave="0" documentId="13_ncr:1_{1F05C891-5F9F-4A1C-BA22-3ED3046E3073}" xr6:coauthVersionLast="47" xr6:coauthVersionMax="47" xr10:uidLastSave="{00000000-0000-0000-0000-000000000000}"/>
  <bookViews>
    <workbookView xWindow="38280" yWindow="2310" windowWidth="29040" windowHeight="15840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3" l="1"/>
  <c r="K3" i="13"/>
  <c r="K4" i="13"/>
  <c r="K5" i="13"/>
  <c r="K6" i="13"/>
  <c r="K7" i="13"/>
  <c r="K8" i="13"/>
  <c r="K9" i="13"/>
  <c r="K10" i="13"/>
  <c r="J6" i="13"/>
  <c r="J2" i="13"/>
  <c r="J3" i="13"/>
  <c r="J4" i="13"/>
  <c r="J5" i="13"/>
  <c r="J7" i="13"/>
  <c r="J8" i="13"/>
  <c r="J9" i="13"/>
  <c r="J10" i="13"/>
  <c r="L2" i="5"/>
  <c r="K2" i="5"/>
  <c r="J2" i="5"/>
  <c r="L2" i="12"/>
  <c r="J2" i="12"/>
  <c r="K2" i="7" a="1"/>
  <c r="K2" i="7" s="1"/>
  <c r="J2" i="7" a="1"/>
  <c r="J2" i="7" s="1"/>
  <c r="L2" i="7" a="1"/>
  <c r="L2" i="7" s="1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J2" i="6" a="1"/>
  <c r="J2" i="6" s="1"/>
  <c r="J2" i="3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5" i="9"/>
  <c r="J4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<sst xmlns="http://schemas.openxmlformats.org/spreadsheetml/2006/main" count="584" uniqueCount="91">
  <si>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</si>
  <si>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</si>
  <si>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</si>
  <si>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</si>
  <si>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</si>
  <si>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</si>
  <si>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</si>
  <si>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</si>
  <si>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</si>
  <si>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</si>
  <si>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</si>
  <si>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</si>
  <si>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</si>
  <si>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</si>
  <si>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</si>
  <si>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</si>
  <si>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</si>
  <si>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</si>
  <si>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</si>
  <si>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</si>
  <si>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</si>
  <si>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</si>
  <si>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</si>
  <si>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</si>
  <si>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</si>
  <si>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</si>
  <si>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</si>
  <si>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</si>
  <si>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</si>
  <si>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</si>
  <si>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</si>
  <si>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</si>
  <si>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</si>
  <si>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</si>
  <si>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</si>
  <si>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</si>
  <si>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</si>
  <si>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</si>
  <si>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</si>
  <si>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</si>
  <si>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</si>
  <si>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</si>
  <si>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</si>
  <si>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</si>
  <si>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</si>
  <si>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</si>
  <si>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</si>
  <si>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</si>
  <si>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</si>
  <si>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</si>
  <si>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</si>
  <si>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</si>
  <si>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</si>
  <si>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</si>
  <si>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</si>
  <si>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</si>
  <si>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</si>
  <si>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</si>
  <si>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</si>
  <si>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</si>
  <si>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</si>
  <si>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</si>
  <si>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</si>
  <si>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</si>
  <si>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</si>
  <si>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</si>
  <si>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</si>
  <si>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</si>
  <si>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</si>
  <si>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</si>
  <si>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</si>
  <si>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</si>
  <si>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</si>
  <si>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</si>
  <si>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</si>
  <si>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</si>
  <si>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</si>
  <si>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</si>
  <si>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</si>
  <si>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</si>
  <si>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</si>
  <si>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</si>
  <si>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</si>
  <si>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</si>
  <si>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</si>
  <si>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</si>
  <si>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</si>
  <si>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</si>
  <si>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5-6-2001</t>
  </si>
  <si>
    <t>8-10-2003</t>
  </si>
  <si>
    <t>&gt;30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</si>
</sst>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3" sqref="K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2">
        <f>MAX(G2:G10)</f>
        <v>65000</v>
      </c>
      <c r="K3" s="2">
        <f>MIN(G2:G10)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>MAX(D2:D10)</f>
        <v>38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>MAX(A2:A10)</f>
        <v>1009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G25" sqref="G25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8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 &gt; 30,"Old","Young")</f>
        <v>Young</v>
      </c>
      <c r="K2" t="str" cm="1">
        <f t="array" ref="K2:K10">_xlfn.IFS(F2:F10="Salesman","Sales",F2:F10="HR","Fire Immediately",F2:F10="Regional Manager","Give Christmas Bonus")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zoomScale="115" zoomScaleNormal="115" workbookViewId="0">
      <selection activeCell="G25" sqref="G25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G3" sqref="G3"/>
    </sheetView>
  </sheetViews>
  <sheetFormatPr defaultColWidth="14.5703125" defaultRowHeight="15" x14ac:dyDescent="0.25"/>
  <cols>
    <col min="4" max="4" width="8" customWidth="1"/>
    <col min="10" max="10" width="44.2851562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48</v>
      </c>
      <c r="I2" s="3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49</v>
      </c>
      <c r="I3" s="3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50</v>
      </c>
      <c r="I4" s="3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51</v>
      </c>
      <c r="I5" s="3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52</v>
      </c>
      <c r="I6" s="3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52</v>
      </c>
      <c r="I7" s="3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53</v>
      </c>
      <c r="I8" s="3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3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55</v>
      </c>
      <c r="I10" s="3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J4" sqref="J4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0" max="10" width="32.57031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e">
        <f ca="1">TEXT(TODAY(), "MM/DD/YYYY")</f>
        <v>#VALUE!</v>
      </c>
      <c r="K2" s="3"/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K3" s="3"/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K4" s="3"/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K5" s="3"/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K6" s="3"/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K7" s="3"/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K8" s="3"/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K9" s="3"/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K10" s="3"/>
    </row>
    <row r="12" spans="1:11" x14ac:dyDescent="0.25">
      <c r="H12" s="1"/>
    </row>
    <row r="13" spans="1:11" x14ac:dyDescent="0.25">
      <c r="H13" s="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3" t="s">
        <v>2</v>
      </c>
      <c r="C2" s="3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5">
      <c r="A3">
        <v>1002</v>
      </c>
      <c r="B3" s="3" t="s">
        <v>4</v>
      </c>
      <c r="C3" s="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5">
      <c r="A4">
        <v>1003</v>
      </c>
      <c r="B4" s="3" t="s">
        <v>6</v>
      </c>
      <c r="C4" s="3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5">
      <c r="A5">
        <v>1004</v>
      </c>
      <c r="B5" s="3" t="s">
        <v>13</v>
      </c>
      <c r="C5" s="3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5">
      <c r="A6">
        <v>1005</v>
      </c>
      <c r="B6" s="3" t="s">
        <v>14</v>
      </c>
      <c r="C6" s="3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5">
      <c r="A7">
        <v>1006</v>
      </c>
      <c r="B7" s="3" t="s">
        <v>8</v>
      </c>
      <c r="C7" s="3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5">
      <c r="A8">
        <v>1007</v>
      </c>
      <c r="B8" s="3" t="s">
        <v>33</v>
      </c>
      <c r="C8" s="3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5">
      <c r="A9">
        <v>1008</v>
      </c>
      <c r="B9" s="3" t="s">
        <v>16</v>
      </c>
      <c r="C9" s="3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5">
      <c r="A10">
        <v>1009</v>
      </c>
      <c r="B10" s="3" t="s">
        <v>10</v>
      </c>
      <c r="C10" s="3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3" sqref="K3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7" max="7" width="13.7109375" style="2"/>
    <col min="10" max="10" width="24.28515625" customWidth="1"/>
    <col min="11" max="11" width="33.140625" customWidth="1"/>
    <col min="12" max="12" width="22.570312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 t="str" cm="1">
        <f t="array" ref="J2:J10">SUBSTITUTE(H2:H10, "/", "-", 1)</f>
        <v>11-2/2001</v>
      </c>
      <c r="K2" t="str" cm="1">
        <f t="array" ref="K2:K10">SUBSTITUTE(I2:I10, "/", "-", 2)</f>
        <v>9/6-2015</v>
      </c>
      <c r="L2" t="str" cm="1">
        <f t="array" ref="L2:L10">SUBSTITUTE(H2:H10, "/", "-")</f>
        <v>11-2-2001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 t="str">
        <v>10-3/1999</v>
      </c>
      <c r="K3" t="str">
        <v>10/10-2015</v>
      </c>
      <c r="L3" t="str">
        <v>10-3-1999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 t="str">
        <v>7-4/2000</v>
      </c>
      <c r="K4" t="str">
        <v>9/8-2017</v>
      </c>
      <c r="L4" t="str">
        <v>7-4-2000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 t="str">
        <v>1-5/2000</v>
      </c>
      <c r="K5" t="str">
        <v>12/3-2015</v>
      </c>
      <c r="L5" t="str">
        <v>1-5-2000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 t="str">
        <v>5-6/2001</v>
      </c>
      <c r="K6" t="str">
        <v>8/30-2017</v>
      </c>
      <c r="L6" t="str">
        <v>5-6-2001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88</v>
      </c>
      <c r="I7" s="3" t="s">
        <v>61</v>
      </c>
      <c r="J7" t="str">
        <v>5-6-2001</v>
      </c>
      <c r="K7" t="str">
        <v>9/11-2013</v>
      </c>
      <c r="L7" t="str">
        <v>5-6-2001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 t="str">
        <v>11-8/2003</v>
      </c>
      <c r="K8" t="str">
        <v>9/11-2013</v>
      </c>
      <c r="L8" t="str">
        <v>11-8-2003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 t="str">
        <v>6-9/2002</v>
      </c>
      <c r="K9" t="str">
        <v>4/22-2015</v>
      </c>
      <c r="L9" t="str">
        <v>6-9-2002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89</v>
      </c>
      <c r="I10" s="3" t="s">
        <v>62</v>
      </c>
      <c r="J10" t="str">
        <v>8-10-2003</v>
      </c>
      <c r="K10" t="str">
        <v>4/22-2015</v>
      </c>
      <c r="L10" t="str">
        <v>8-10-2003</v>
      </c>
    </row>
    <row r="12" spans="1:12" x14ac:dyDescent="0.25">
      <c r="H12" s="3"/>
      <c r="I12" s="3"/>
    </row>
    <row r="13" spans="1:12" x14ac:dyDescent="0.25">
      <c r="H13" s="3"/>
      <c r="I13" s="3"/>
    </row>
    <row r="14" spans="1:12" x14ac:dyDescent="0.25">
      <c r="H14" s="3"/>
      <c r="I14" s="3"/>
    </row>
    <row r="15" spans="1:12" x14ac:dyDescent="0.25">
      <c r="H15" s="3"/>
      <c r="I15" s="3"/>
    </row>
    <row r="16" spans="1:12" x14ac:dyDescent="0.25">
      <c r="H16" s="3"/>
      <c r="I16" s="3"/>
    </row>
    <row r="17" spans="8:9" x14ac:dyDescent="0.25">
      <c r="H17" s="3"/>
      <c r="I17" s="3"/>
    </row>
    <row r="18" spans="8:9" x14ac:dyDescent="0.25">
      <c r="H18" s="3"/>
      <c r="I18" s="3"/>
    </row>
    <row r="19" spans="8:9" x14ac:dyDescent="0.25">
      <c r="H19" s="3"/>
      <c r="I19" s="3"/>
    </row>
    <row r="20" spans="8:9" x14ac:dyDescent="0.25">
      <c r="H20" s="3"/>
      <c r="I20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 t="s">
        <v>90</v>
      </c>
      <c r="L2">
        <f>SUMIFS(G2:G10, E2:E10, "Female", D2:D10, 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I17" sqref="I17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 "&gt;45000")</f>
        <v>5</v>
      </c>
      <c r="L2">
        <f>COUNTIFS(A2:A10, "&gt;1005", E2:E10, "Male")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I23" sqref="I23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  <col min="11" max="11" width="28.140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 " ", C2)</f>
        <v>Jim Halpert</v>
      </c>
      <c r="K2" t="str">
        <f>CONCATENATE(B2, ".", C2, "@gmail.com")</f>
        <v>Jim.Halpert@gmail.com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 " ", C3)</f>
        <v>Pam Beasley</v>
      </c>
      <c r="K3" t="str">
        <f t="shared" ref="K3:K10" si="1">CONCATENATE(B3, ".", C3, "@gmail.com")</f>
        <v>Pam.Beasley@gmail.com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25">
      <c r="H11" t="str">
        <f t="shared" ref="H11:H12" si="2">CONCATENATE(B11," ",C11)</f>
        <v xml:space="preserve"> </v>
      </c>
    </row>
    <row r="12" spans="1:11" x14ac:dyDescent="0.25">
      <c r="H12" t="str">
        <f t="shared" si="2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O21" sqref="O21"/>
    </sheetView>
  </sheetViews>
  <sheetFormatPr defaultRowHeight="15" x14ac:dyDescent="0.25"/>
  <cols>
    <col min="8" max="8" width="14.42578125" customWidth="1"/>
    <col min="9" max="9" width="13.28515625" customWidth="1"/>
    <col min="11" max="11" width="17.140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>
        <f>_xlfn.DAYS(I2,H2)</f>
        <v>5231</v>
      </c>
      <c r="K2">
        <f>NETWORKDAYS(H2,I2)</f>
        <v>3737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>
        <f t="shared" si="0"/>
        <v>6333</v>
      </c>
      <c r="K4">
        <f t="shared" si="1"/>
        <v>4524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>
        <f t="shared" si="0"/>
        <v>5428</v>
      </c>
      <c r="K5">
        <f t="shared" si="1"/>
        <v>3879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 t="e">
        <f>_xlfn.DAYS(I6,H6)</f>
        <v>#VALUE!</v>
      </c>
      <c r="K6" t="e">
        <f t="shared" si="1"/>
        <v>#VALUE!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>
        <f t="shared" si="0"/>
        <v>4540</v>
      </c>
      <c r="K7">
        <f t="shared" si="1"/>
        <v>3244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>
        <f t="shared" si="0"/>
        <v>3743</v>
      </c>
      <c r="K8">
        <f t="shared" si="1"/>
        <v>2675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 t="e">
        <f t="shared" si="0"/>
        <v>#VALUE!</v>
      </c>
      <c r="K9" t="e">
        <f t="shared" si="1"/>
        <v>#VALUE!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 t="e">
        <f t="shared" si="0"/>
        <v>#VALUE!</v>
      </c>
      <c r="K10" t="e">
        <f t="shared" si="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Achilleas</cp:lastModifiedBy>
  <dcterms:created xsi:type="dcterms:W3CDTF">2021-12-16T14:18:34Z</dcterms:created>
  <dcterms:modified xsi:type="dcterms:W3CDTF">2025-11-11T20:43:15Z</dcterms:modified>
</cp:coreProperties>
</file>